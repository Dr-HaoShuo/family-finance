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shuo\Desktop\财务\"/>
    </mc:Choice>
  </mc:AlternateContent>
  <xr:revisionPtr revIDLastSave="0" documentId="8_{71928B7B-697C-4839-8687-1256BDEFAE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资产负债表" sheetId="1" r:id="rId1"/>
    <sheet name="利润表" sheetId="2" r:id="rId2"/>
    <sheet name="现金流量表" sheetId="3" r:id="rId3"/>
    <sheet name="Sheet1" sheetId="4" r:id="rId4"/>
    <sheet name="外汇牌价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3" l="1"/>
  <c r="D14" i="4"/>
  <c r="D12" i="4"/>
  <c r="D6" i="4"/>
  <c r="E22" i="2"/>
  <c r="C22" i="2"/>
  <c r="E24" i="1"/>
  <c r="C24" i="1"/>
  <c r="C21" i="3"/>
  <c r="C11" i="3"/>
  <c r="C22" i="3" l="1"/>
  <c r="C23" i="3" s="1"/>
  <c r="C23" i="2"/>
  <c r="C25" i="1"/>
</calcChain>
</file>

<file path=xl/sharedStrings.xml><?xml version="1.0" encoding="utf-8"?>
<sst xmlns="http://schemas.openxmlformats.org/spreadsheetml/2006/main" count="135" uniqueCount="113">
  <si>
    <t>家庭资产负债表</t>
  </si>
  <si>
    <t>资产</t>
  </si>
  <si>
    <t>金额（元）</t>
  </si>
  <si>
    <t>负债</t>
  </si>
  <si>
    <t>一、流动性资产</t>
  </si>
  <si>
    <t>一‚金融性负债</t>
  </si>
  <si>
    <t>现金</t>
  </si>
  <si>
    <t>房贷（剩余本金）</t>
  </si>
  <si>
    <t>活期存款</t>
  </si>
  <si>
    <t>车贷（剩余本金）</t>
  </si>
  <si>
    <t>微信/支付宝余额</t>
  </si>
  <si>
    <t>消费贷/信用贷</t>
  </si>
  <si>
    <t>货币基金（余额宝等）</t>
  </si>
  <si>
    <t>二、流动性负债</t>
  </si>
  <si>
    <t>借出款（短期可回收）</t>
  </si>
  <si>
    <t>信用卡账单（总额）</t>
  </si>
  <si>
    <t>二、投资性资产</t>
  </si>
  <si>
    <t>人情借款</t>
  </si>
  <si>
    <t>银行理财</t>
  </si>
  <si>
    <t>黄金（按回收价）</t>
  </si>
  <si>
    <t>储蓄型保险金价值</t>
  </si>
  <si>
    <t>三、自用性资产</t>
  </si>
  <si>
    <t>房产（当前市价）</t>
  </si>
  <si>
    <t>车产（二手回收价）</t>
  </si>
  <si>
    <t>资产总计</t>
  </si>
  <si>
    <t>负债总计</t>
  </si>
  <si>
    <t>净资产</t>
  </si>
  <si>
    <t>利润表</t>
  </si>
  <si>
    <t>收入项目</t>
  </si>
  <si>
    <t>支出项目</t>
  </si>
  <si>
    <t>一、劳动收入</t>
  </si>
  <si>
    <t>一、固定支出</t>
  </si>
  <si>
    <t>工资（应发)</t>
  </si>
  <si>
    <t>奖金/提成</t>
  </si>
  <si>
    <t>物业费</t>
  </si>
  <si>
    <t>兼职收入</t>
  </si>
  <si>
    <t>车贷</t>
  </si>
  <si>
    <t>二、财政性收入</t>
  </si>
  <si>
    <t>二、日常支出</t>
  </si>
  <si>
    <t>租金收入</t>
  </si>
  <si>
    <t>餐饮</t>
  </si>
  <si>
    <t>理财收益（到账）</t>
  </si>
  <si>
    <t>交通（油费/通勤）</t>
  </si>
  <si>
    <t>股息/分红</t>
  </si>
  <si>
    <t>水电燃气</t>
  </si>
  <si>
    <t>其他收入</t>
  </si>
  <si>
    <t>通讯网络</t>
  </si>
  <si>
    <t>红包/礼金</t>
  </si>
  <si>
    <t>三、弹性支出</t>
  </si>
  <si>
    <t>二手物品变现</t>
  </si>
  <si>
    <t>购物（服饰/日用品）</t>
  </si>
  <si>
    <t>娱乐（餐饮/电影/旅游）</t>
  </si>
  <si>
    <t>医疗保健</t>
  </si>
  <si>
    <t>教育/培训</t>
  </si>
  <si>
    <t>保险费（年缴分摊）</t>
  </si>
  <si>
    <t>人情往来</t>
  </si>
  <si>
    <t>收入合计</t>
  </si>
  <si>
    <t>支出合计</t>
  </si>
  <si>
    <t>月度结余</t>
  </si>
  <si>
    <t>项目</t>
  </si>
  <si>
    <t>备注</t>
  </si>
  <si>
    <t>期初现金余额</t>
  </si>
  <si>
    <t>一、经营活动现金流</t>
  </si>
  <si>
    <t>实收工资</t>
  </si>
  <si>
    <t>实收租金</t>
  </si>
  <si>
    <t>其他实收现金</t>
  </si>
  <si>
    <t>减：实际支付日常支出</t>
  </si>
  <si>
    <t>（含信用卡还款）</t>
  </si>
  <si>
    <t>减：实际支出固定支出</t>
  </si>
  <si>
    <t>经营活动净现金流</t>
  </si>
  <si>
    <t>二、投资活动现金流</t>
  </si>
  <si>
    <t>买入股票/基金</t>
  </si>
  <si>
    <t>卖出股票/基金</t>
  </si>
  <si>
    <t>购买理财</t>
  </si>
  <si>
    <t>理财到期赎回</t>
  </si>
  <si>
    <t>投资活动净现金流</t>
  </si>
  <si>
    <t>三、筹资活动现金流</t>
  </si>
  <si>
    <t>新增借款</t>
  </si>
  <si>
    <t>偿还借款本金</t>
  </si>
  <si>
    <t>筹资活动净现金流</t>
  </si>
  <si>
    <t>当月净现金流</t>
  </si>
  <si>
    <t>期末现金余额</t>
  </si>
  <si>
    <t>郝硕</t>
  </si>
  <si>
    <t>持有人</t>
  </si>
  <si>
    <t>账户名称</t>
  </si>
  <si>
    <t>额度</t>
  </si>
  <si>
    <t>港币-人民币</t>
  </si>
  <si>
    <t>美元-人民币</t>
  </si>
  <si>
    <t>欧元-人民币</t>
  </si>
  <si>
    <t>单位</t>
  </si>
  <si>
    <t>建设银行9357</t>
  </si>
  <si>
    <t>招行银行7852</t>
  </si>
  <si>
    <t>微信钱包</t>
  </si>
  <si>
    <t>人民币</t>
  </si>
  <si>
    <t>恒生银行3888</t>
  </si>
  <si>
    <t>支付宝钱包</t>
  </si>
  <si>
    <t>贵重物品（回收价）</t>
  </si>
  <si>
    <t>李游</t>
  </si>
  <si>
    <t>工商银行9662</t>
  </si>
  <si>
    <t>工商银行6976</t>
  </si>
  <si>
    <t>总计</t>
  </si>
  <si>
    <t>中银香港</t>
  </si>
  <si>
    <t>栏目</t>
  </si>
  <si>
    <t>价格</t>
  </si>
  <si>
    <t>应付费用（房租/物业费/学费等）</t>
  </si>
  <si>
    <t>场外基金（市值）</t>
  </si>
  <si>
    <t>场内基金（市值）</t>
  </si>
  <si>
    <t>A股（市值）</t>
  </si>
  <si>
    <t>港股（市值）</t>
  </si>
  <si>
    <t>美股（市值）</t>
  </si>
  <si>
    <t>房租</t>
  </si>
  <si>
    <t>退税</t>
  </si>
  <si>
    <r>
      <t xml:space="preserve">现金流量表( </t>
    </r>
    <r>
      <rPr>
        <b/>
        <u/>
        <sz val="14"/>
        <color theme="1"/>
        <rFont val="微软雅黑"/>
        <charset val="134"/>
      </rPr>
      <t xml:space="preserve"> 3  </t>
    </r>
    <r>
      <rPr>
        <b/>
        <sz val="14"/>
        <color theme="1"/>
        <rFont val="微软雅黑"/>
        <charset val="134"/>
      </rPr>
      <t>月 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</si>
</sst>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4"/>
      <color rgb="FF0F1115"/>
      <name val="微软雅黑"/>
      <charset val="134"/>
    </font>
    <font>
      <b/>
      <sz val="16"/>
      <color theme="1"/>
      <name val="宋体"/>
      <charset val="134"/>
    </font>
    <font>
      <b/>
      <sz val="18"/>
      <color theme="1"/>
      <name val="微软雅黑"/>
      <charset val="134"/>
    </font>
    <font>
      <b/>
      <u/>
      <sz val="14"/>
      <color theme="1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5"/>
  <sheetViews>
    <sheetView tabSelected="1" workbookViewId="0">
      <selection activeCell="O6" sqref="O6"/>
    </sheetView>
  </sheetViews>
  <sheetFormatPr defaultColWidth="9" defaultRowHeight="15"/>
  <cols>
    <col min="2" max="2" width="26.85546875" customWidth="1"/>
    <col min="3" max="3" width="40.7109375" customWidth="1"/>
    <col min="4" max="4" width="42.7109375" bestFit="1" customWidth="1"/>
    <col min="5" max="5" width="23.28515625" customWidth="1"/>
    <col min="6" max="6" width="10.85546875" customWidth="1"/>
  </cols>
  <sheetData>
    <row r="1" spans="2:5" ht="27" customHeight="1"/>
    <row r="2" spans="2:5" ht="27" customHeight="1">
      <c r="B2" s="6" t="s">
        <v>0</v>
      </c>
      <c r="C2" s="6"/>
      <c r="D2" s="6"/>
      <c r="E2" s="6"/>
    </row>
    <row r="3" spans="2:5" ht="27" customHeight="1">
      <c r="B3" s="4" t="s">
        <v>1</v>
      </c>
      <c r="C3" s="4" t="s">
        <v>2</v>
      </c>
      <c r="D3" s="4" t="s">
        <v>3</v>
      </c>
      <c r="E3" s="4" t="s">
        <v>2</v>
      </c>
    </row>
    <row r="4" spans="2:5" ht="27" customHeight="1">
      <c r="B4" s="1" t="s">
        <v>4</v>
      </c>
      <c r="C4" s="2"/>
      <c r="D4" s="1" t="s">
        <v>5</v>
      </c>
      <c r="E4" s="2"/>
    </row>
    <row r="5" spans="2:5" ht="27" customHeight="1">
      <c r="B5" s="2" t="s">
        <v>6</v>
      </c>
      <c r="C5" s="2">
        <v>44920.41</v>
      </c>
      <c r="D5" s="2" t="s">
        <v>7</v>
      </c>
      <c r="E5" s="2">
        <v>0</v>
      </c>
    </row>
    <row r="6" spans="2:5" ht="27" customHeight="1">
      <c r="B6" s="2" t="s">
        <v>8</v>
      </c>
      <c r="C6" s="2">
        <v>1462.29</v>
      </c>
      <c r="D6" s="2" t="s">
        <v>9</v>
      </c>
      <c r="E6" s="2">
        <v>0</v>
      </c>
    </row>
    <row r="7" spans="2:5" ht="27" customHeight="1">
      <c r="B7" s="2" t="s">
        <v>10</v>
      </c>
      <c r="C7" s="2">
        <v>10786.887000000001</v>
      </c>
      <c r="D7" s="2" t="s">
        <v>11</v>
      </c>
      <c r="E7" s="2"/>
    </row>
    <row r="8" spans="2:5" ht="27" customHeight="1">
      <c r="B8" s="2" t="s">
        <v>12</v>
      </c>
      <c r="C8" s="2"/>
      <c r="D8" s="1" t="s">
        <v>13</v>
      </c>
      <c r="E8" s="2"/>
    </row>
    <row r="9" spans="2:5" ht="27" customHeight="1">
      <c r="B9" s="2" t="s">
        <v>14</v>
      </c>
      <c r="C9" s="2">
        <v>6800</v>
      </c>
      <c r="D9" s="2" t="s">
        <v>15</v>
      </c>
      <c r="E9" s="2">
        <v>4656.03</v>
      </c>
    </row>
    <row r="10" spans="2:5" ht="27" customHeight="1">
      <c r="B10" s="1" t="s">
        <v>16</v>
      </c>
      <c r="C10" s="2"/>
      <c r="D10" s="2" t="s">
        <v>17</v>
      </c>
      <c r="E10" s="2">
        <v>0</v>
      </c>
    </row>
    <row r="11" spans="2:5" ht="27" customHeight="1">
      <c r="B11" s="2" t="s">
        <v>107</v>
      </c>
      <c r="C11" s="2">
        <v>24660</v>
      </c>
      <c r="D11" s="2" t="s">
        <v>104</v>
      </c>
      <c r="E11" s="2">
        <v>0</v>
      </c>
    </row>
    <row r="12" spans="2:5" ht="27" customHeight="1">
      <c r="B12" s="2" t="s">
        <v>108</v>
      </c>
      <c r="C12" s="2">
        <v>43602.239999999998</v>
      </c>
      <c r="D12" s="2"/>
      <c r="E12" s="2"/>
    </row>
    <row r="13" spans="2:5" ht="27" customHeight="1">
      <c r="B13" s="2" t="s">
        <v>109</v>
      </c>
      <c r="C13" s="2">
        <v>249844.6</v>
      </c>
      <c r="D13" s="2"/>
      <c r="E13" s="2"/>
    </row>
    <row r="14" spans="2:5" ht="27" customHeight="1">
      <c r="B14" s="2" t="s">
        <v>105</v>
      </c>
      <c r="C14" s="2">
        <v>111275.43</v>
      </c>
      <c r="D14" s="2"/>
      <c r="E14" s="2"/>
    </row>
    <row r="15" spans="2:5" ht="27" customHeight="1">
      <c r="B15" s="2" t="s">
        <v>106</v>
      </c>
      <c r="C15" s="2">
        <v>48574.1</v>
      </c>
      <c r="D15" s="2"/>
      <c r="E15" s="2"/>
    </row>
    <row r="16" spans="2:5" ht="27" customHeight="1">
      <c r="B16" s="2" t="s">
        <v>18</v>
      </c>
      <c r="C16" s="2">
        <v>30000</v>
      </c>
      <c r="D16" s="2"/>
      <c r="E16" s="2"/>
    </row>
    <row r="17" spans="2:5" ht="27" customHeight="1">
      <c r="B17" s="2" t="s">
        <v>19</v>
      </c>
      <c r="C17" s="2">
        <v>0</v>
      </c>
      <c r="D17" s="2"/>
      <c r="E17" s="2"/>
    </row>
    <row r="18" spans="2:5" ht="27" customHeight="1">
      <c r="B18" s="2" t="s">
        <v>20</v>
      </c>
      <c r="C18" s="2">
        <v>0</v>
      </c>
      <c r="D18" s="2"/>
      <c r="E18" s="2"/>
    </row>
    <row r="19" spans="2:5" ht="27" customHeight="1">
      <c r="B19" s="1" t="s">
        <v>21</v>
      </c>
      <c r="C19" s="2"/>
      <c r="D19" s="2"/>
      <c r="E19" s="2"/>
    </row>
    <row r="20" spans="2:5" ht="27" customHeight="1">
      <c r="B20" s="2" t="s">
        <v>22</v>
      </c>
      <c r="C20" s="2">
        <v>0</v>
      </c>
      <c r="D20" s="2"/>
      <c r="E20" s="2"/>
    </row>
    <row r="21" spans="2:5" ht="27" customHeight="1">
      <c r="B21" s="2" t="s">
        <v>23</v>
      </c>
      <c r="C21" s="2">
        <v>0</v>
      </c>
      <c r="D21" s="2"/>
      <c r="E21" s="2"/>
    </row>
    <row r="22" spans="2:5" ht="27" customHeight="1">
      <c r="B22" s="2" t="s">
        <v>96</v>
      </c>
      <c r="C22" s="2">
        <v>12000</v>
      </c>
      <c r="D22" s="2"/>
      <c r="E22" s="2"/>
    </row>
    <row r="23" spans="2:5" ht="27" customHeight="1">
      <c r="B23" s="2"/>
      <c r="C23" s="2"/>
      <c r="D23" s="2"/>
      <c r="E23" s="2"/>
    </row>
    <row r="24" spans="2:5" ht="27" customHeight="1">
      <c r="B24" s="1" t="s">
        <v>24</v>
      </c>
      <c r="C24" s="2">
        <f>SUM(C5:C22)</f>
        <v>583925.95700000005</v>
      </c>
      <c r="D24" s="1" t="s">
        <v>25</v>
      </c>
      <c r="E24" s="2">
        <f>SUM(E5:E15)</f>
        <v>4656.03</v>
      </c>
    </row>
    <row r="25" spans="2:5" ht="27" customHeight="1">
      <c r="B25" s="1" t="s">
        <v>26</v>
      </c>
      <c r="C25" s="2">
        <f>C24-E24</f>
        <v>579269.92700000003</v>
      </c>
      <c r="D25" s="2"/>
      <c r="E25" s="2"/>
    </row>
  </sheetData>
  <mergeCells count="1">
    <mergeCell ref="B2:E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33"/>
  <sheetViews>
    <sheetView workbookViewId="0">
      <selection activeCell="N15" sqref="N15"/>
    </sheetView>
  </sheetViews>
  <sheetFormatPr defaultColWidth="9" defaultRowHeight="15"/>
  <cols>
    <col min="2" max="2" width="25.140625" customWidth="1"/>
    <col min="3" max="3" width="13.85546875" customWidth="1"/>
    <col min="4" max="4" width="36.140625" customWidth="1"/>
    <col min="5" max="5" width="13.85546875" customWidth="1"/>
  </cols>
  <sheetData>
    <row r="1" spans="2:5" ht="27" customHeight="1"/>
    <row r="2" spans="2:5" ht="27" customHeight="1">
      <c r="B2" s="7" t="s">
        <v>27</v>
      </c>
      <c r="C2" s="7"/>
      <c r="D2" s="7"/>
      <c r="E2" s="7"/>
    </row>
    <row r="3" spans="2:5" ht="27" customHeight="1">
      <c r="B3" s="4" t="s">
        <v>28</v>
      </c>
      <c r="C3" s="4" t="s">
        <v>2</v>
      </c>
      <c r="D3" s="4" t="s">
        <v>29</v>
      </c>
      <c r="E3" s="4" t="s">
        <v>2</v>
      </c>
    </row>
    <row r="4" spans="2:5" ht="27" customHeight="1">
      <c r="B4" s="1" t="s">
        <v>30</v>
      </c>
      <c r="C4" s="2"/>
      <c r="D4" s="1" t="s">
        <v>31</v>
      </c>
      <c r="E4" s="2"/>
    </row>
    <row r="5" spans="2:5" ht="27" customHeight="1">
      <c r="B5" s="2" t="s">
        <v>32</v>
      </c>
      <c r="C5" s="2">
        <v>61484.7</v>
      </c>
      <c r="D5" s="2" t="s">
        <v>110</v>
      </c>
      <c r="E5" s="2">
        <v>5800</v>
      </c>
    </row>
    <row r="6" spans="2:5" ht="27" customHeight="1">
      <c r="B6" s="2" t="s">
        <v>33</v>
      </c>
      <c r="C6" s="2">
        <v>0</v>
      </c>
      <c r="D6" s="2" t="s">
        <v>34</v>
      </c>
      <c r="E6" s="2">
        <v>0</v>
      </c>
    </row>
    <row r="7" spans="2:5" ht="27" customHeight="1">
      <c r="B7" s="2" t="s">
        <v>35</v>
      </c>
      <c r="C7" s="2">
        <v>0</v>
      </c>
      <c r="D7" s="2" t="s">
        <v>36</v>
      </c>
      <c r="E7" s="2">
        <v>0</v>
      </c>
    </row>
    <row r="8" spans="2:5" ht="27" customHeight="1">
      <c r="B8" s="2" t="s">
        <v>111</v>
      </c>
      <c r="C8" s="2">
        <v>9676.34</v>
      </c>
      <c r="D8" s="2"/>
      <c r="E8" s="2"/>
    </row>
    <row r="9" spans="2:5" ht="27" customHeight="1">
      <c r="B9" s="1" t="s">
        <v>37</v>
      </c>
      <c r="C9" s="2"/>
      <c r="D9" s="1" t="s">
        <v>38</v>
      </c>
      <c r="E9" s="2"/>
    </row>
    <row r="10" spans="2:5" ht="27" customHeight="1">
      <c r="B10" s="2" t="s">
        <v>39</v>
      </c>
      <c r="C10" s="2">
        <v>0</v>
      </c>
      <c r="D10" s="2" t="s">
        <v>40</v>
      </c>
      <c r="E10" s="2">
        <v>900</v>
      </c>
    </row>
    <row r="11" spans="2:5" ht="27" customHeight="1">
      <c r="B11" s="2" t="s">
        <v>41</v>
      </c>
      <c r="C11" s="2">
        <v>156.5</v>
      </c>
      <c r="D11" s="2" t="s">
        <v>42</v>
      </c>
      <c r="E11" s="2">
        <v>400</v>
      </c>
    </row>
    <row r="12" spans="2:5" ht="27" customHeight="1">
      <c r="B12" s="2" t="s">
        <v>43</v>
      </c>
      <c r="C12" s="2">
        <v>0</v>
      </c>
      <c r="D12" s="2" t="s">
        <v>44</v>
      </c>
      <c r="E12" s="2">
        <v>400</v>
      </c>
    </row>
    <row r="13" spans="2:5" ht="27" customHeight="1">
      <c r="B13" s="2" t="s">
        <v>45</v>
      </c>
      <c r="C13" s="2">
        <v>0</v>
      </c>
      <c r="D13" s="2" t="s">
        <v>46</v>
      </c>
      <c r="E13" s="2">
        <v>0</v>
      </c>
    </row>
    <row r="14" spans="2:5" ht="27" customHeight="1">
      <c r="B14" s="2" t="s">
        <v>47</v>
      </c>
      <c r="C14" s="2">
        <v>0</v>
      </c>
      <c r="D14" s="1" t="s">
        <v>48</v>
      </c>
      <c r="E14" s="2"/>
    </row>
    <row r="15" spans="2:5" ht="27" customHeight="1">
      <c r="B15" s="2" t="s">
        <v>49</v>
      </c>
      <c r="C15" s="2">
        <v>0</v>
      </c>
      <c r="D15" s="2" t="s">
        <v>50</v>
      </c>
      <c r="E15" s="2">
        <v>1000</v>
      </c>
    </row>
    <row r="16" spans="2:5" ht="27" customHeight="1">
      <c r="B16" s="2"/>
      <c r="C16" s="2"/>
      <c r="D16" s="2" t="s">
        <v>51</v>
      </c>
      <c r="E16" s="2">
        <v>1600</v>
      </c>
    </row>
    <row r="17" spans="2:5" ht="27" customHeight="1">
      <c r="B17" s="2"/>
      <c r="C17" s="2"/>
      <c r="D17" s="2" t="s">
        <v>52</v>
      </c>
      <c r="E17" s="2">
        <v>1899</v>
      </c>
    </row>
    <row r="18" spans="2:5" ht="27" customHeight="1">
      <c r="B18" s="2"/>
      <c r="C18" s="2"/>
      <c r="D18" s="2" t="s">
        <v>53</v>
      </c>
      <c r="E18" s="2">
        <v>238</v>
      </c>
    </row>
    <row r="19" spans="2:5" ht="27" customHeight="1">
      <c r="B19" s="2"/>
      <c r="C19" s="2"/>
      <c r="D19" s="2" t="s">
        <v>54</v>
      </c>
      <c r="E19" s="2">
        <v>0</v>
      </c>
    </row>
    <row r="20" spans="2:5" ht="27" customHeight="1">
      <c r="B20" s="2"/>
      <c r="C20" s="2"/>
      <c r="D20" s="2" t="s">
        <v>55</v>
      </c>
      <c r="E20" s="2">
        <v>317.08999999999997</v>
      </c>
    </row>
    <row r="21" spans="2:5" ht="27" customHeight="1">
      <c r="B21" s="2"/>
      <c r="C21" s="2"/>
      <c r="D21" s="2"/>
      <c r="E21" s="2"/>
    </row>
    <row r="22" spans="2:5" ht="27" customHeight="1">
      <c r="B22" s="1" t="s">
        <v>56</v>
      </c>
      <c r="C22" s="2">
        <f>SUM(C4:C15)</f>
        <v>71317.539999999994</v>
      </c>
      <c r="D22" s="1" t="s">
        <v>57</v>
      </c>
      <c r="E22" s="2">
        <f>SUM(E4:E20)</f>
        <v>12554.09</v>
      </c>
    </row>
    <row r="23" spans="2:5" ht="27" customHeight="1">
      <c r="B23" s="1" t="s">
        <v>58</v>
      </c>
      <c r="C23" s="2">
        <f>C22-E22</f>
        <v>58763.45</v>
      </c>
      <c r="D23" s="2"/>
      <c r="E23" s="2"/>
    </row>
    <row r="24" spans="2:5" ht="27" customHeight="1"/>
    <row r="25" spans="2:5" ht="27" customHeight="1"/>
    <row r="26" spans="2:5" ht="27" customHeight="1"/>
    <row r="27" spans="2:5" ht="27" customHeight="1"/>
    <row r="28" spans="2:5" ht="27" customHeight="1"/>
    <row r="29" spans="2:5" ht="27" customHeight="1"/>
    <row r="30" spans="2:5" ht="27" customHeight="1"/>
    <row r="31" spans="2:5" ht="27" customHeight="1"/>
    <row r="32" spans="2:5" ht="27" customHeight="1"/>
    <row r="33" ht="27" customHeight="1"/>
  </sheetData>
  <mergeCells count="1">
    <mergeCell ref="B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3"/>
  <sheetViews>
    <sheetView workbookViewId="0">
      <selection activeCell="C23" sqref="C23"/>
    </sheetView>
  </sheetViews>
  <sheetFormatPr defaultColWidth="9" defaultRowHeight="15"/>
  <cols>
    <col min="2" max="2" width="32.85546875" customWidth="1"/>
    <col min="3" max="3" width="17.28515625" customWidth="1"/>
    <col min="4" max="4" width="36.85546875" customWidth="1"/>
  </cols>
  <sheetData>
    <row r="1" spans="2:7" ht="27" customHeight="1"/>
    <row r="2" spans="2:7" ht="27" customHeight="1">
      <c r="B2" s="5" t="s">
        <v>112</v>
      </c>
      <c r="C2" s="5"/>
      <c r="D2" s="5"/>
    </row>
    <row r="3" spans="2:7" ht="27" customHeight="1">
      <c r="B3" s="1" t="s">
        <v>59</v>
      </c>
      <c r="C3" s="1" t="s">
        <v>2</v>
      </c>
      <c r="D3" s="1" t="s">
        <v>60</v>
      </c>
    </row>
    <row r="4" spans="2:7" ht="27" customHeight="1">
      <c r="B4" s="1" t="s">
        <v>61</v>
      </c>
      <c r="C4" s="2"/>
      <c r="D4" s="2"/>
    </row>
    <row r="5" spans="2:7" ht="27" customHeight="1">
      <c r="B5" s="1" t="s">
        <v>62</v>
      </c>
      <c r="C5" s="2"/>
      <c r="D5" s="2"/>
    </row>
    <row r="6" spans="2:7" ht="27" customHeight="1">
      <c r="B6" s="2" t="s">
        <v>63</v>
      </c>
      <c r="C6" s="2">
        <v>61484.7</v>
      </c>
      <c r="D6" s="2"/>
    </row>
    <row r="7" spans="2:7" ht="27" customHeight="1">
      <c r="B7" s="2" t="s">
        <v>64</v>
      </c>
      <c r="C7" s="2">
        <v>0</v>
      </c>
      <c r="D7" s="2"/>
    </row>
    <row r="8" spans="2:7" ht="27" customHeight="1">
      <c r="B8" s="2" t="s">
        <v>65</v>
      </c>
      <c r="C8" s="2">
        <v>9676.34</v>
      </c>
      <c r="D8" s="2"/>
    </row>
    <row r="9" spans="2:7" ht="27" customHeight="1">
      <c r="B9" s="2" t="s">
        <v>66</v>
      </c>
      <c r="C9" s="2">
        <v>4656.03</v>
      </c>
      <c r="D9" s="3" t="s">
        <v>67</v>
      </c>
    </row>
    <row r="10" spans="2:7" ht="27" customHeight="1">
      <c r="B10" s="2" t="s">
        <v>68</v>
      </c>
      <c r="C10" s="2">
        <v>6200</v>
      </c>
      <c r="D10" s="2"/>
      <c r="G10">
        <v>16684.8</v>
      </c>
    </row>
    <row r="11" spans="2:7" ht="27" customHeight="1">
      <c r="B11" s="2" t="s">
        <v>69</v>
      </c>
      <c r="C11" s="2">
        <f>SUM(C6:C8)-SUM(C9:C10)</f>
        <v>60305.009999999995</v>
      </c>
      <c r="D11" s="2"/>
    </row>
    <row r="12" spans="2:7" ht="27" customHeight="1">
      <c r="B12" s="1" t="s">
        <v>70</v>
      </c>
      <c r="C12" s="2"/>
      <c r="D12" s="2"/>
    </row>
    <row r="13" spans="2:7" ht="27" customHeight="1">
      <c r="B13" s="2" t="s">
        <v>71</v>
      </c>
      <c r="C13" s="2">
        <v>113807.8</v>
      </c>
      <c r="D13" s="2"/>
    </row>
    <row r="14" spans="2:7" ht="27" customHeight="1">
      <c r="B14" s="2" t="s">
        <v>72</v>
      </c>
      <c r="C14" s="2">
        <v>10055.9</v>
      </c>
      <c r="D14" s="2"/>
    </row>
    <row r="15" spans="2:7" ht="27" customHeight="1">
      <c r="B15" s="2" t="s">
        <v>73</v>
      </c>
      <c r="C15" s="2">
        <v>30000</v>
      </c>
      <c r="D15" s="2"/>
    </row>
    <row r="16" spans="2:7" ht="27" customHeight="1">
      <c r="B16" s="2" t="s">
        <v>74</v>
      </c>
      <c r="C16" s="2">
        <v>0</v>
      </c>
      <c r="D16" s="3"/>
    </row>
    <row r="17" spans="2:4" ht="27" customHeight="1">
      <c r="B17" s="2" t="s">
        <v>75</v>
      </c>
      <c r="C17" s="2">
        <f>-C13+C14-C15+C16</f>
        <v>-133751.90000000002</v>
      </c>
      <c r="D17" s="2"/>
    </row>
    <row r="18" spans="2:4" ht="27" customHeight="1">
      <c r="B18" s="1" t="s">
        <v>76</v>
      </c>
      <c r="C18" s="2"/>
      <c r="D18" s="2"/>
    </row>
    <row r="19" spans="2:4" ht="27" customHeight="1">
      <c r="B19" s="2" t="s">
        <v>77</v>
      </c>
      <c r="C19" s="2">
        <v>0</v>
      </c>
      <c r="D19" s="2"/>
    </row>
    <row r="20" spans="2:4" ht="27" customHeight="1">
      <c r="B20" s="2" t="s">
        <v>78</v>
      </c>
      <c r="C20" s="2">
        <v>0</v>
      </c>
      <c r="D20" s="2"/>
    </row>
    <row r="21" spans="2:4" ht="27" customHeight="1">
      <c r="B21" s="1" t="s">
        <v>79</v>
      </c>
      <c r="C21" s="2">
        <f>SUM(C19:C20)</f>
        <v>0</v>
      </c>
      <c r="D21" s="2"/>
    </row>
    <row r="22" spans="2:4" ht="27" customHeight="1">
      <c r="B22" s="1" t="s">
        <v>80</v>
      </c>
      <c r="C22" s="2">
        <f>C11+C17+C21</f>
        <v>-73446.890000000029</v>
      </c>
      <c r="D22" s="2"/>
    </row>
    <row r="23" spans="2:4" ht="27" customHeight="1">
      <c r="B23" s="1" t="s">
        <v>81</v>
      </c>
      <c r="C23" s="2">
        <f>C4+C22</f>
        <v>-73446.890000000029</v>
      </c>
      <c r="D23" s="2"/>
    </row>
  </sheetData>
  <mergeCells count="1">
    <mergeCell ref="B2:D2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686E-9870-49CF-BADA-664ECCB4B319}">
  <dimension ref="B2:E14"/>
  <sheetViews>
    <sheetView zoomScale="205" zoomScaleNormal="205" workbookViewId="0">
      <selection activeCell="B13" sqref="B13"/>
    </sheetView>
  </sheetViews>
  <sheetFormatPr defaultRowHeight="15"/>
  <cols>
    <col min="1" max="1" width="9.140625" style="11"/>
    <col min="2" max="2" width="14" style="11" bestFit="1" customWidth="1"/>
    <col min="3" max="3" width="13.7109375" style="11" bestFit="1" customWidth="1"/>
    <col min="4" max="16384" width="9.140625" style="11"/>
  </cols>
  <sheetData>
    <row r="2" spans="2:5">
      <c r="B2" s="10" t="s">
        <v>6</v>
      </c>
      <c r="C2" s="10"/>
      <c r="D2" s="10"/>
      <c r="E2" s="10"/>
    </row>
    <row r="3" spans="2:5">
      <c r="B3" s="12" t="s">
        <v>83</v>
      </c>
      <c r="C3" s="12" t="s">
        <v>84</v>
      </c>
      <c r="D3" s="12" t="s">
        <v>85</v>
      </c>
      <c r="E3" s="12" t="s">
        <v>89</v>
      </c>
    </row>
    <row r="4" spans="2:5">
      <c r="B4" s="13" t="s">
        <v>82</v>
      </c>
      <c r="C4" s="13" t="s">
        <v>90</v>
      </c>
      <c r="D4" s="13">
        <v>955.74</v>
      </c>
      <c r="E4" s="13" t="s">
        <v>93</v>
      </c>
    </row>
    <row r="5" spans="2:5">
      <c r="B5" s="13" t="s">
        <v>82</v>
      </c>
      <c r="C5" s="13" t="s">
        <v>91</v>
      </c>
      <c r="D5" s="13">
        <v>6.52</v>
      </c>
      <c r="E5" s="13" t="s">
        <v>93</v>
      </c>
    </row>
    <row r="6" spans="2:5">
      <c r="B6" s="13" t="s">
        <v>82</v>
      </c>
      <c r="C6" s="13" t="s">
        <v>94</v>
      </c>
      <c r="D6" s="13">
        <f>766.49*0.88</f>
        <v>674.51120000000003</v>
      </c>
      <c r="E6" s="13" t="s">
        <v>93</v>
      </c>
    </row>
    <row r="7" spans="2:5">
      <c r="B7" s="13" t="s">
        <v>82</v>
      </c>
      <c r="C7" s="13" t="s">
        <v>92</v>
      </c>
      <c r="D7" s="13">
        <v>6.55</v>
      </c>
      <c r="E7" s="13" t="s">
        <v>93</v>
      </c>
    </row>
    <row r="8" spans="2:5">
      <c r="B8" s="13" t="s">
        <v>82</v>
      </c>
      <c r="C8" s="13" t="s">
        <v>95</v>
      </c>
      <c r="D8" s="13">
        <v>1.04</v>
      </c>
      <c r="E8" s="13" t="s">
        <v>93</v>
      </c>
    </row>
    <row r="9" spans="2:5">
      <c r="B9" s="13" t="s">
        <v>97</v>
      </c>
      <c r="C9" s="13" t="s">
        <v>98</v>
      </c>
      <c r="D9" s="13">
        <v>2376.14</v>
      </c>
      <c r="E9" s="13" t="s">
        <v>93</v>
      </c>
    </row>
    <row r="10" spans="2:5">
      <c r="B10" s="13" t="s">
        <v>97</v>
      </c>
      <c r="C10" s="13" t="s">
        <v>99</v>
      </c>
      <c r="D10" s="13">
        <v>12.7</v>
      </c>
      <c r="E10" s="13" t="s">
        <v>93</v>
      </c>
    </row>
    <row r="11" spans="2:5">
      <c r="B11" s="13" t="s">
        <v>97</v>
      </c>
      <c r="C11" s="13" t="s">
        <v>92</v>
      </c>
      <c r="D11" s="13">
        <v>2374.3000000000002</v>
      </c>
      <c r="E11" s="13" t="s">
        <v>93</v>
      </c>
    </row>
    <row r="12" spans="2:5">
      <c r="B12" s="13" t="s">
        <v>97</v>
      </c>
      <c r="C12" s="13" t="s">
        <v>101</v>
      </c>
      <c r="D12" s="13">
        <f>4976.55*0.88</f>
        <v>4379.3640000000005</v>
      </c>
      <c r="E12" s="13" t="s">
        <v>93</v>
      </c>
    </row>
    <row r="14" spans="2:5">
      <c r="B14" s="10" t="s">
        <v>100</v>
      </c>
      <c r="C14" s="10"/>
      <c r="D14" s="11">
        <f>SUM(D4:D12)</f>
        <v>10786.8652</v>
      </c>
      <c r="E14" s="13" t="s">
        <v>93</v>
      </c>
    </row>
  </sheetData>
  <mergeCells count="2">
    <mergeCell ref="B2:E2"/>
    <mergeCell ref="B14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E405-C468-4FEF-87C3-B6F9913E5CAD}">
  <dimension ref="A2:C5"/>
  <sheetViews>
    <sheetView workbookViewId="0">
      <selection activeCell="C3" sqref="C3"/>
    </sheetView>
  </sheetViews>
  <sheetFormatPr defaultRowHeight="15"/>
  <cols>
    <col min="1" max="2" width="12.42578125" bestFit="1" customWidth="1"/>
  </cols>
  <sheetData>
    <row r="2" spans="1:3">
      <c r="A2" s="9"/>
      <c r="B2" s="8" t="s">
        <v>102</v>
      </c>
      <c r="C2" s="8" t="s">
        <v>103</v>
      </c>
    </row>
    <row r="3" spans="1:3">
      <c r="B3" s="8" t="s">
        <v>86</v>
      </c>
      <c r="C3" s="8">
        <v>0.88</v>
      </c>
    </row>
    <row r="4" spans="1:3">
      <c r="B4" s="8" t="s">
        <v>87</v>
      </c>
      <c r="C4" s="8">
        <v>6.89</v>
      </c>
    </row>
    <row r="5" spans="1:3">
      <c r="B5" s="8" t="s">
        <v>88</v>
      </c>
      <c r="C5" s="8">
        <v>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资产负债表</vt:lpstr>
      <vt:lpstr>利润表</vt:lpstr>
      <vt:lpstr>现金流量表</vt:lpstr>
      <vt:lpstr>Sheet1</vt:lpstr>
      <vt:lpstr>外汇牌价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</dc:creator>
  <cp:lastModifiedBy>HAO, cee shuo [Alumni]</cp:lastModifiedBy>
  <dcterms:created xsi:type="dcterms:W3CDTF">2023-05-12T11:15:00Z</dcterms:created>
  <dcterms:modified xsi:type="dcterms:W3CDTF">2026-03-22T08:30:40Z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905668D3266A48CD8F2055BBC3DC2EE0_12</vt:lpwstr>
  </property>
  <property fmtid="{D5CDD505-2E9C-101B-9397-08002B2CF9AE}" pid="4" name="CalculationRule">
    <vt:i4>0</vt:i4>
  </property>
</Properties>
</file>